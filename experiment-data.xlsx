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<sst xmlns="http://schemas.openxmlformats.org/spreadsheetml/2006/main" count="183" uniqueCount="56">
  <si>
    <t>部件</t>
  </si>
  <si>
    <t>工序</t>
  </si>
  <si>
    <t>机器</t>
  </si>
  <si>
    <t>约束</t>
  </si>
  <si>
    <t>难易度</t>
  </si>
  <si>
    <t>标准工时</t>
  </si>
  <si>
    <t>可替代工序</t>
  </si>
  <si>
    <t>前继工序</t>
  </si>
  <si>
    <t>前继工序数量</t>
  </si>
  <si>
    <t>P1</t>
  </si>
  <si>
    <t>A</t>
  </si>
  <si>
    <t/>
  </si>
  <si>
    <t>C</t>
  </si>
  <si>
    <t>P2</t>
  </si>
  <si>
    <t>B</t>
  </si>
  <si>
    <t>在2后</t>
  </si>
  <si>
    <t>P3</t>
  </si>
  <si>
    <t>P0</t>
  </si>
  <si>
    <t>在1、2、3、4后</t>
  </si>
  <si>
    <r>
      <rPr>
        <sz val="11"/>
        <color theme="1"/>
        <rFont val="宋体"/>
        <charset val="134"/>
        <scheme val="minor"/>
      </rPr>
      <t>1、</t>
    </r>
    <r>
      <rPr>
        <sz val="11"/>
        <color theme="1"/>
        <rFont val="宋体"/>
        <charset val="134"/>
        <scheme val="minor"/>
      </rPr>
      <t>2、3、4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</si>
  <si>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0</t>
    </r>
  </si>
  <si>
    <t>F</t>
  </si>
  <si>
    <t>1、2、3、4</t>
  </si>
  <si>
    <t>在1、2、3、4、5后</t>
  </si>
  <si>
    <t>1、2、3、4、5、6</t>
  </si>
  <si>
    <t>在1、2、3、4、5、6后</t>
  </si>
  <si>
    <t>在1、2、3、4、6、7后</t>
  </si>
  <si>
    <t>1、2、3、4、5、6、7</t>
  </si>
  <si>
    <t>在1、2、3、4、6、7、8后</t>
  </si>
  <si>
    <t>1、2、3、4、5、6、7、8</t>
  </si>
  <si>
    <t>在1、2、3、4、6、7、8、9后</t>
  </si>
  <si>
    <t>1、2、3、4、5、6、7、8、9</t>
  </si>
  <si>
    <t>G</t>
  </si>
  <si>
    <t>袖口拼接机</t>
  </si>
  <si>
    <t>D</t>
  </si>
  <si>
    <t>在1、2、3、4、6、7、8、9、10后</t>
  </si>
  <si>
    <t>1、2、3、4、5、6、7、8、9、10</t>
  </si>
  <si>
    <t>E</t>
  </si>
  <si>
    <t>在1、2、3、4、6、7、8、9、10、11后</t>
  </si>
  <si>
    <t>1、2、3、4、5、6、7、8、9、10、11</t>
  </si>
  <si>
    <t>在1、2、3、4、6、7、8、9、10、11、12后</t>
  </si>
  <si>
    <t>1、2、3、4、5、6、7、8、9、10、11、12</t>
  </si>
  <si>
    <t>H</t>
  </si>
  <si>
    <t>在1、2、3、4、6、7、8、9、10、11、12、13后</t>
  </si>
  <si>
    <t>1、2、3、4、5、6、7、8、9、10、11、12、13</t>
  </si>
  <si>
    <t>员工</t>
  </si>
  <si>
    <t>3、4</t>
  </si>
  <si>
    <t>P4</t>
  </si>
  <si>
    <t>1、2、3、4、5、6、7、8、9、10、11、12、13、14</t>
  </si>
  <si>
    <t>1、2、3、4、5、6、7、8、9、10、11、12、13、14、15</t>
  </si>
  <si>
    <t>I</t>
  </si>
  <si>
    <t>1、2、3、4、5、6、7、8、9、10、11、12、13、14、15、16</t>
  </si>
  <si>
    <t>1、2、3、4、5、6、7、8、9、10、11、12、13、14、15、16、17</t>
  </si>
  <si>
    <t>1、2、3、4、5、6、7、8、9、10、11、12、13、14、15、16、17、18</t>
  </si>
  <si>
    <t>1、2、3、4、5、6、7、8、9、10、11、12、13、14、15、16、17、18、19</t>
  </si>
  <si>
    <t>1、2、3、4、5、6、7、8、9、10、11、12、13、14、15、16、22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</si>
</sst>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3" fillId="0" borderId="0"/>
    <xf numFmtId="0" fontId="0" fillId="0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176" fontId="3" fillId="2" borderId="3" xfId="49" applyNumberFormat="1" applyFont="1" applyFill="1" applyBorder="1" applyAlignment="1">
      <alignment horizontal="center"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left"/>
    </xf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left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2" fillId="2" borderId="4" xfId="50" applyFont="1" applyFill="1" applyBorder="1" applyAlignment="1">
      <alignment horizontal="center" vertical="center"/>
    </xf>
    <xf numFmtId="177" fontId="3" fillId="2" borderId="3" xfId="49" applyNumberFormat="1" applyFont="1" applyFill="1" applyBorder="1" applyAlignment="1">
      <alignment horizontal="center"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left"/>
    </xf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新工序表 2 2" xfId="49"/>
    <cellStyle name="常规 2 7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:I17"/>
    </sheetView>
  </sheetViews>
  <sheetFormatPr defaultColWidth="9" defaultRowHeight="13.5"/>
  <sheetData>
    <row r="1" spans="1: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5" t="s">
        <v>8</v>
      </c>
    </row>
    <row r="2" spans="1:9">
      <c r="A2" s="16" t="s">
        <v>9</v>
      </c>
      <c r="B2" s="16">
        <v>1</v>
      </c>
      <c r="C2" s="17" t="s">
        <v>10</v>
      </c>
      <c r="D2" s="16" t="s">
        <v>11</v>
      </c>
      <c r="E2" s="5" t="s">
        <v>12</v>
      </c>
      <c r="F2" s="18">
        <v>15.37</v>
      </c>
      <c r="G2" s="16"/>
      <c r="H2" s="19"/>
      <c r="I2" s="5">
        <v>0</v>
      </c>
    </row>
    <row r="3" spans="1:9">
      <c r="A3" s="16" t="s">
        <v>13</v>
      </c>
      <c r="B3" s="16">
        <v>2</v>
      </c>
      <c r="C3" s="17" t="s">
        <v>10</v>
      </c>
      <c r="D3" s="16" t="s">
        <v>11</v>
      </c>
      <c r="E3" s="5" t="s">
        <v>12</v>
      </c>
      <c r="F3" s="18">
        <v>30.23</v>
      </c>
      <c r="G3" s="16"/>
      <c r="H3" s="19"/>
      <c r="I3" s="5">
        <v>0</v>
      </c>
    </row>
    <row r="4" spans="1:9">
      <c r="A4" s="16" t="s">
        <v>13</v>
      </c>
      <c r="B4" s="16">
        <v>3</v>
      </c>
      <c r="C4" s="17" t="s">
        <v>14</v>
      </c>
      <c r="D4" s="16" t="s">
        <v>15</v>
      </c>
      <c r="E4" s="5" t="s">
        <v>12</v>
      </c>
      <c r="F4" s="18">
        <v>28.16</v>
      </c>
      <c r="G4" s="16"/>
      <c r="H4" s="20">
        <v>2</v>
      </c>
      <c r="I4" s="5">
        <v>1</v>
      </c>
    </row>
    <row r="5" spans="1:9">
      <c r="A5" s="16" t="s">
        <v>16</v>
      </c>
      <c r="B5" s="16">
        <v>4</v>
      </c>
      <c r="C5" s="17" t="s">
        <v>14</v>
      </c>
      <c r="D5" s="16" t="s">
        <v>11</v>
      </c>
      <c r="E5" s="5" t="s">
        <v>12</v>
      </c>
      <c r="F5" s="18">
        <v>21.25</v>
      </c>
      <c r="G5" s="16"/>
      <c r="H5" s="20"/>
      <c r="I5" s="5">
        <v>0</v>
      </c>
    </row>
    <row r="6" spans="1:9">
      <c r="A6" s="16" t="s">
        <v>17</v>
      </c>
      <c r="B6" s="16">
        <v>5</v>
      </c>
      <c r="C6" s="17" t="s">
        <v>14</v>
      </c>
      <c r="D6" s="16" t="s">
        <v>18</v>
      </c>
      <c r="E6" s="5" t="s">
        <v>14</v>
      </c>
      <c r="F6" s="18">
        <v>25.36</v>
      </c>
      <c r="G6" s="16">
        <v>6</v>
      </c>
      <c r="H6" s="21" t="s">
        <v>19</v>
      </c>
      <c r="I6" s="5">
        <v>4</v>
      </c>
    </row>
    <row r="7" spans="1:9">
      <c r="A7" s="22" t="s">
        <v>20</v>
      </c>
      <c r="B7" s="16">
        <v>6</v>
      </c>
      <c r="C7" s="17" t="s">
        <v>21</v>
      </c>
      <c r="D7" s="16"/>
      <c r="E7" s="5" t="s">
        <v>12</v>
      </c>
      <c r="F7" s="18">
        <v>12</v>
      </c>
      <c r="G7" s="16">
        <v>5</v>
      </c>
      <c r="H7" s="21" t="s">
        <v>22</v>
      </c>
      <c r="I7" s="5">
        <v>4</v>
      </c>
    </row>
    <row r="8" spans="1:9">
      <c r="A8" s="16" t="s">
        <v>17</v>
      </c>
      <c r="B8" s="16">
        <v>7</v>
      </c>
      <c r="C8" s="17" t="s">
        <v>12</v>
      </c>
      <c r="D8" s="16" t="s">
        <v>23</v>
      </c>
      <c r="E8" s="5" t="s">
        <v>12</v>
      </c>
      <c r="F8" s="18">
        <v>14.3</v>
      </c>
      <c r="G8" s="16"/>
      <c r="H8" s="21" t="s">
        <v>24</v>
      </c>
      <c r="I8" s="5">
        <v>5</v>
      </c>
    </row>
    <row r="9" spans="1:9">
      <c r="A9" s="16" t="s">
        <v>17</v>
      </c>
      <c r="B9" s="16">
        <v>8</v>
      </c>
      <c r="C9" s="17" t="s">
        <v>10</v>
      </c>
      <c r="D9" s="16" t="s">
        <v>25</v>
      </c>
      <c r="E9" s="5" t="s">
        <v>14</v>
      </c>
      <c r="F9" s="18">
        <v>33.78</v>
      </c>
      <c r="G9" s="16"/>
      <c r="H9" s="21" t="s">
        <v>24</v>
      </c>
      <c r="I9" s="5">
        <v>5</v>
      </c>
    </row>
    <row r="10" spans="1:9">
      <c r="A10" s="16" t="s">
        <v>17</v>
      </c>
      <c r="B10" s="16">
        <v>9</v>
      </c>
      <c r="C10" s="17" t="s">
        <v>14</v>
      </c>
      <c r="D10" s="16" t="s">
        <v>26</v>
      </c>
      <c r="E10" s="5" t="s">
        <v>14</v>
      </c>
      <c r="F10" s="18">
        <v>36.62</v>
      </c>
      <c r="G10" s="16"/>
      <c r="H10" s="21" t="s">
        <v>27</v>
      </c>
      <c r="I10" s="5">
        <v>7</v>
      </c>
    </row>
    <row r="11" spans="1:9">
      <c r="A11" s="16" t="s">
        <v>17</v>
      </c>
      <c r="B11" s="16">
        <v>10</v>
      </c>
      <c r="C11" s="17" t="s">
        <v>14</v>
      </c>
      <c r="D11" s="16" t="s">
        <v>28</v>
      </c>
      <c r="E11" s="5" t="s">
        <v>14</v>
      </c>
      <c r="F11" s="18">
        <v>36.82</v>
      </c>
      <c r="G11" s="16"/>
      <c r="H11" s="21" t="s">
        <v>29</v>
      </c>
      <c r="I11" s="5">
        <v>8</v>
      </c>
    </row>
    <row r="12" spans="1:9">
      <c r="A12" s="16" t="s">
        <v>17</v>
      </c>
      <c r="B12" s="16">
        <v>11</v>
      </c>
      <c r="C12" s="17" t="s">
        <v>14</v>
      </c>
      <c r="D12" s="16" t="s">
        <v>30</v>
      </c>
      <c r="E12" s="5" t="s">
        <v>14</v>
      </c>
      <c r="F12" s="18">
        <v>30.96</v>
      </c>
      <c r="G12" s="16">
        <v>12</v>
      </c>
      <c r="H12" s="21" t="s">
        <v>31</v>
      </c>
      <c r="I12" s="5">
        <v>9</v>
      </c>
    </row>
    <row r="13" spans="1:9">
      <c r="A13" s="22" t="s">
        <v>20</v>
      </c>
      <c r="B13" s="16">
        <v>12</v>
      </c>
      <c r="C13" s="17" t="s">
        <v>32</v>
      </c>
      <c r="D13" s="16" t="s">
        <v>33</v>
      </c>
      <c r="E13" s="16" t="s">
        <v>12</v>
      </c>
      <c r="F13" s="18">
        <v>25.62</v>
      </c>
      <c r="G13" s="16">
        <v>11</v>
      </c>
      <c r="H13" s="21" t="s">
        <v>31</v>
      </c>
      <c r="I13" s="16">
        <v>9</v>
      </c>
    </row>
    <row r="14" spans="1:9">
      <c r="A14" s="16" t="s">
        <v>17</v>
      </c>
      <c r="B14" s="16">
        <v>13</v>
      </c>
      <c r="C14" s="17" t="s">
        <v>34</v>
      </c>
      <c r="D14" s="16" t="s">
        <v>35</v>
      </c>
      <c r="E14" s="5" t="s">
        <v>12</v>
      </c>
      <c r="F14" s="18">
        <v>17.09</v>
      </c>
      <c r="G14" s="16"/>
      <c r="H14" s="21" t="s">
        <v>36</v>
      </c>
      <c r="I14" s="5">
        <v>10</v>
      </c>
    </row>
    <row r="15" spans="1:9">
      <c r="A15" s="16" t="s">
        <v>17</v>
      </c>
      <c r="B15" s="16">
        <v>14</v>
      </c>
      <c r="C15" s="17" t="s">
        <v>37</v>
      </c>
      <c r="D15" s="16" t="s">
        <v>38</v>
      </c>
      <c r="E15" s="5" t="s">
        <v>14</v>
      </c>
      <c r="F15" s="18">
        <v>27.01</v>
      </c>
      <c r="G15" s="16"/>
      <c r="H15" s="21" t="s">
        <v>39</v>
      </c>
      <c r="I15" s="5">
        <v>11</v>
      </c>
    </row>
    <row r="16" spans="1:9">
      <c r="A16" s="16" t="s">
        <v>17</v>
      </c>
      <c r="B16" s="16">
        <v>15</v>
      </c>
      <c r="C16" s="17" t="s">
        <v>10</v>
      </c>
      <c r="D16" s="16" t="s">
        <v>40</v>
      </c>
      <c r="E16" s="5" t="s">
        <v>12</v>
      </c>
      <c r="F16" s="18">
        <v>12.99</v>
      </c>
      <c r="G16" s="16"/>
      <c r="H16" s="21" t="s">
        <v>41</v>
      </c>
      <c r="I16" s="5">
        <v>12</v>
      </c>
    </row>
    <row r="17" spans="1:9">
      <c r="A17" s="16" t="s">
        <v>17</v>
      </c>
      <c r="B17" s="16">
        <v>16</v>
      </c>
      <c r="C17" s="17" t="s">
        <v>42</v>
      </c>
      <c r="D17" s="16" t="s">
        <v>43</v>
      </c>
      <c r="E17" s="5" t="s">
        <v>34</v>
      </c>
      <c r="F17" s="18">
        <v>8.4</v>
      </c>
      <c r="G17" s="16"/>
      <c r="H17" s="21" t="s">
        <v>44</v>
      </c>
      <c r="I17" s="5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E26"/>
    </sheetView>
  </sheetViews>
  <sheetFormatPr defaultColWidth="9" defaultRowHeight="13.5" outlineLevelCol="4"/>
  <sheetData>
    <row r="1" spans="1:5">
      <c r="A1" s="12" t="s">
        <v>45</v>
      </c>
      <c r="B1" s="12" t="s">
        <v>10</v>
      </c>
      <c r="C1" s="12" t="s">
        <v>14</v>
      </c>
      <c r="D1" s="12" t="s">
        <v>12</v>
      </c>
      <c r="E1" s="12" t="s">
        <v>34</v>
      </c>
    </row>
    <row r="2" spans="1:5">
      <c r="A2" s="12">
        <v>1</v>
      </c>
      <c r="B2" s="12">
        <f ca="1" t="shared" ref="B2:B26" si="0">RAND()*(1.2-0.8)+0.85</f>
        <v>0.857144251523656</v>
      </c>
      <c r="C2" s="12">
        <f ca="1" t="shared" ref="C2:C26" si="1">RAND()*(1.2-0.8)+0.85</f>
        <v>0.979211684617023</v>
      </c>
      <c r="D2" s="12">
        <f ca="1" t="shared" ref="D2:D26" si="2">RAND()*(1.2-0.8)+0.85</f>
        <v>1.21167910918359</v>
      </c>
      <c r="E2" s="12">
        <f ca="1" t="shared" ref="E2:E26" si="3">RAND()*(1.2-0.8)+0.85</f>
        <v>0.898016873913826</v>
      </c>
    </row>
    <row r="3" spans="1:5">
      <c r="A3" s="12">
        <v>2</v>
      </c>
      <c r="B3" s="12">
        <f ca="1" t="shared" si="0"/>
        <v>0.893190954914496</v>
      </c>
      <c r="C3" s="12">
        <f ca="1" t="shared" si="1"/>
        <v>1.15680598802714</v>
      </c>
      <c r="D3" s="12">
        <f ca="1" t="shared" si="2"/>
        <v>0.907613638811341</v>
      </c>
      <c r="E3" s="12">
        <f ca="1" t="shared" si="3"/>
        <v>1.19800475127081</v>
      </c>
    </row>
    <row r="4" spans="1:5">
      <c r="A4" s="12">
        <v>3</v>
      </c>
      <c r="B4" s="12">
        <f ca="1" t="shared" si="0"/>
        <v>0.975686641487975</v>
      </c>
      <c r="C4" s="12">
        <f ca="1" t="shared" si="1"/>
        <v>0.932054375384521</v>
      </c>
      <c r="D4" s="12">
        <f ca="1" t="shared" si="2"/>
        <v>0.977678474901367</v>
      </c>
      <c r="E4" s="12">
        <f ca="1" t="shared" si="3"/>
        <v>1.11212461375496</v>
      </c>
    </row>
    <row r="5" spans="1:5">
      <c r="A5" s="12">
        <v>4</v>
      </c>
      <c r="B5" s="12">
        <f ca="1" t="shared" si="0"/>
        <v>1.04738658938827</v>
      </c>
      <c r="C5" s="12">
        <f ca="1" t="shared" si="1"/>
        <v>0.865402184438367</v>
      </c>
      <c r="D5" s="12">
        <f ca="1" t="shared" si="2"/>
        <v>0.932265243721955</v>
      </c>
      <c r="E5" s="12">
        <f ca="1" t="shared" si="3"/>
        <v>1.10135066157354</v>
      </c>
    </row>
    <row r="6" spans="1:5">
      <c r="A6" s="12">
        <v>5</v>
      </c>
      <c r="B6" s="12">
        <f ca="1" t="shared" si="0"/>
        <v>0.958229327802576</v>
      </c>
      <c r="C6" s="12">
        <f ca="1" t="shared" si="1"/>
        <v>0.87341783500928</v>
      </c>
      <c r="D6" s="12">
        <f ca="1" t="shared" si="2"/>
        <v>1.24257532155595</v>
      </c>
      <c r="E6" s="12">
        <f ca="1" t="shared" si="3"/>
        <v>0.859255501973814</v>
      </c>
    </row>
    <row r="7" spans="1:5">
      <c r="A7" s="12">
        <v>6</v>
      </c>
      <c r="B7" s="12">
        <f ca="1" t="shared" si="0"/>
        <v>1.11980871446704</v>
      </c>
      <c r="C7" s="12">
        <f ca="1" t="shared" si="1"/>
        <v>0.999774189999173</v>
      </c>
      <c r="D7" s="12">
        <f ca="1" t="shared" si="2"/>
        <v>1.01148451957774</v>
      </c>
      <c r="E7" s="12">
        <f ca="1" t="shared" si="3"/>
        <v>0.917859597455224</v>
      </c>
    </row>
    <row r="8" spans="1:5">
      <c r="A8" s="12">
        <v>7</v>
      </c>
      <c r="B8" s="12">
        <f ca="1" t="shared" si="0"/>
        <v>1.07682483016603</v>
      </c>
      <c r="C8" s="12">
        <f ca="1" t="shared" si="1"/>
        <v>0.981005706097952</v>
      </c>
      <c r="D8" s="12">
        <f ca="1" t="shared" si="2"/>
        <v>1.16082188899328</v>
      </c>
      <c r="E8" s="12">
        <f ca="1" t="shared" si="3"/>
        <v>1.23686516829939</v>
      </c>
    </row>
    <row r="9" spans="1:5">
      <c r="A9" s="12">
        <v>8</v>
      </c>
      <c r="B9" s="12">
        <f ca="1" t="shared" si="0"/>
        <v>0.964319994636759</v>
      </c>
      <c r="C9" s="12">
        <f ca="1" t="shared" si="1"/>
        <v>1.04281367053529</v>
      </c>
      <c r="D9" s="12">
        <f ca="1" t="shared" si="2"/>
        <v>1.23229919303681</v>
      </c>
      <c r="E9" s="12">
        <f ca="1" t="shared" si="3"/>
        <v>1.15130717511206</v>
      </c>
    </row>
    <row r="10" spans="1:5">
      <c r="A10" s="12">
        <v>9</v>
      </c>
      <c r="B10" s="12">
        <f ca="1" t="shared" si="0"/>
        <v>1.00493788544465</v>
      </c>
      <c r="C10" s="12">
        <f ca="1" t="shared" si="1"/>
        <v>0.959774924443889</v>
      </c>
      <c r="D10" s="12">
        <f ca="1" t="shared" si="2"/>
        <v>0.980974418708092</v>
      </c>
      <c r="E10" s="12">
        <f ca="1" t="shared" si="3"/>
        <v>0.968525514863838</v>
      </c>
    </row>
    <row r="11" spans="1:5">
      <c r="A11" s="12">
        <v>10</v>
      </c>
      <c r="B11" s="12">
        <f ca="1" t="shared" si="0"/>
        <v>1.0340783179831</v>
      </c>
      <c r="C11" s="12">
        <f ca="1" t="shared" si="1"/>
        <v>1.22649304023344</v>
      </c>
      <c r="D11" s="12">
        <f ca="1" t="shared" si="2"/>
        <v>0.890478207084854</v>
      </c>
      <c r="E11" s="12">
        <f ca="1" t="shared" si="3"/>
        <v>1.23001945989575</v>
      </c>
    </row>
    <row r="12" spans="1:5">
      <c r="A12" s="12">
        <v>11</v>
      </c>
      <c r="B12" s="12">
        <f ca="1" t="shared" si="0"/>
        <v>0.986632512555519</v>
      </c>
      <c r="C12" s="12">
        <f ca="1" t="shared" si="1"/>
        <v>1.1562670275981</v>
      </c>
      <c r="D12" s="12">
        <f ca="1" t="shared" si="2"/>
        <v>0.882146045026262</v>
      </c>
      <c r="E12" s="12">
        <f ca="1" t="shared" si="3"/>
        <v>0.889996158668117</v>
      </c>
    </row>
    <row r="13" spans="1:5">
      <c r="A13" s="12">
        <v>12</v>
      </c>
      <c r="B13" s="12">
        <f ca="1" t="shared" si="0"/>
        <v>0.89458025646197</v>
      </c>
      <c r="C13" s="12">
        <f ca="1" t="shared" si="1"/>
        <v>1.12521217577442</v>
      </c>
      <c r="D13" s="12">
        <f ca="1" t="shared" si="2"/>
        <v>1.05728484680186</v>
      </c>
      <c r="E13" s="12">
        <f ca="1" t="shared" si="3"/>
        <v>1.22506568602652</v>
      </c>
    </row>
    <row r="14" spans="1:5">
      <c r="A14" s="12">
        <v>13</v>
      </c>
      <c r="B14" s="12">
        <f ca="1" t="shared" si="0"/>
        <v>1.08729859860659</v>
      </c>
      <c r="C14" s="12">
        <f ca="1" t="shared" si="1"/>
        <v>1.03481265758044</v>
      </c>
      <c r="D14" s="12">
        <f ca="1" t="shared" si="2"/>
        <v>1.0328506547703</v>
      </c>
      <c r="E14" s="12">
        <f ca="1" t="shared" si="3"/>
        <v>0.864635434231874</v>
      </c>
    </row>
    <row r="15" spans="1:5">
      <c r="A15" s="12">
        <v>14</v>
      </c>
      <c r="B15" s="12">
        <f ca="1" t="shared" si="0"/>
        <v>1.09718225925289</v>
      </c>
      <c r="C15" s="12">
        <f ca="1" t="shared" si="1"/>
        <v>1.10064167702766</v>
      </c>
      <c r="D15" s="12">
        <f ca="1" t="shared" si="2"/>
        <v>0.909233062147458</v>
      </c>
      <c r="E15" s="12">
        <f ca="1" t="shared" si="3"/>
        <v>0.90512003671918</v>
      </c>
    </row>
    <row r="16" spans="1:5">
      <c r="A16" s="12">
        <v>15</v>
      </c>
      <c r="B16" s="12">
        <f ca="1" t="shared" si="0"/>
        <v>0.8704402350096</v>
      </c>
      <c r="C16" s="12">
        <f ca="1" t="shared" si="1"/>
        <v>1.15363184205024</v>
      </c>
      <c r="D16" s="12">
        <f ca="1" t="shared" si="2"/>
        <v>1.07551632641314</v>
      </c>
      <c r="E16" s="12">
        <f ca="1" t="shared" si="3"/>
        <v>1.22413693347249</v>
      </c>
    </row>
    <row r="17" spans="1:5">
      <c r="A17" s="12">
        <v>16</v>
      </c>
      <c r="B17" s="12">
        <f ca="1" t="shared" si="0"/>
        <v>1.11696310578988</v>
      </c>
      <c r="C17" s="12">
        <f ca="1" t="shared" si="1"/>
        <v>0.943270462428394</v>
      </c>
      <c r="D17" s="12">
        <f ca="1" t="shared" si="2"/>
        <v>1.19713401233266</v>
      </c>
      <c r="E17" s="12">
        <f ca="1" t="shared" si="3"/>
        <v>1.06769764620786</v>
      </c>
    </row>
    <row r="18" spans="1:5">
      <c r="A18" s="12">
        <v>17</v>
      </c>
      <c r="B18" s="12">
        <f ca="1" t="shared" si="0"/>
        <v>1.18916520221742</v>
      </c>
      <c r="C18" s="12">
        <f ca="1" t="shared" si="1"/>
        <v>0.987403353989771</v>
      </c>
      <c r="D18" s="12">
        <f ca="1" t="shared" si="2"/>
        <v>1.11053111516168</v>
      </c>
      <c r="E18" s="12">
        <f ca="1" t="shared" si="3"/>
        <v>1.1851220058428</v>
      </c>
    </row>
    <row r="19" spans="1:5">
      <c r="A19" s="12">
        <v>18</v>
      </c>
      <c r="B19" s="12">
        <f ca="1" t="shared" si="0"/>
        <v>0.966725775632995</v>
      </c>
      <c r="C19" s="12">
        <f ca="1" t="shared" si="1"/>
        <v>0.951035665759754</v>
      </c>
      <c r="D19" s="12">
        <f ca="1" t="shared" si="2"/>
        <v>0.913651167610626</v>
      </c>
      <c r="E19" s="12">
        <f ca="1" t="shared" si="3"/>
        <v>0.916512016889377</v>
      </c>
    </row>
    <row r="20" spans="1:5">
      <c r="A20" s="12">
        <v>19</v>
      </c>
      <c r="B20" s="12">
        <f ca="1" t="shared" si="0"/>
        <v>0.991080174019247</v>
      </c>
      <c r="C20" s="12">
        <f ca="1" t="shared" si="1"/>
        <v>1.13305998604359</v>
      </c>
      <c r="D20" s="12">
        <f ca="1" t="shared" si="2"/>
        <v>1.11218231877966</v>
      </c>
      <c r="E20" s="12">
        <f ca="1" t="shared" si="3"/>
        <v>1.07115062674628</v>
      </c>
    </row>
    <row r="21" spans="1:5">
      <c r="A21" s="12">
        <v>20</v>
      </c>
      <c r="B21" s="12">
        <f ca="1" t="shared" si="0"/>
        <v>1.02818285551932</v>
      </c>
      <c r="C21" s="12">
        <f ca="1" t="shared" si="1"/>
        <v>1.21833459402444</v>
      </c>
      <c r="D21" s="12">
        <f ca="1" t="shared" si="2"/>
        <v>1.12961148725735</v>
      </c>
      <c r="E21" s="12">
        <f ca="1" t="shared" si="3"/>
        <v>0.953029932433904</v>
      </c>
    </row>
    <row r="22" spans="1:5">
      <c r="A22" s="12">
        <v>21</v>
      </c>
      <c r="B22" s="12">
        <f ca="1" t="shared" si="0"/>
        <v>0.982441313017186</v>
      </c>
      <c r="C22" s="12">
        <f ca="1" t="shared" si="1"/>
        <v>1.19282154931843</v>
      </c>
      <c r="D22" s="12">
        <f ca="1" t="shared" si="2"/>
        <v>0.974750848865697</v>
      </c>
      <c r="E22" s="12">
        <f ca="1" t="shared" si="3"/>
        <v>1.13717847794144</v>
      </c>
    </row>
    <row r="23" spans="1:5">
      <c r="A23" s="12">
        <v>22</v>
      </c>
      <c r="B23" s="12">
        <f ca="1" t="shared" si="0"/>
        <v>0.997664962455114</v>
      </c>
      <c r="C23" s="12">
        <f ca="1" t="shared" si="1"/>
        <v>0.988926246509805</v>
      </c>
      <c r="D23" s="12">
        <f ca="1" t="shared" si="2"/>
        <v>1.00567391243933</v>
      </c>
      <c r="E23" s="12">
        <f ca="1" t="shared" si="3"/>
        <v>1.20823741563379</v>
      </c>
    </row>
    <row r="24" spans="1:5">
      <c r="A24" s="12">
        <v>23</v>
      </c>
      <c r="B24" s="12">
        <f ca="1" t="shared" si="0"/>
        <v>1.02403586637408</v>
      </c>
      <c r="C24" s="12">
        <f ca="1" t="shared" si="1"/>
        <v>1.0873399223907</v>
      </c>
      <c r="D24" s="12">
        <f ca="1" t="shared" si="2"/>
        <v>0.953561389836214</v>
      </c>
      <c r="E24" s="12">
        <f ca="1" t="shared" si="3"/>
        <v>1.03279011078021</v>
      </c>
    </row>
    <row r="25" spans="1:5">
      <c r="A25" s="12">
        <v>24</v>
      </c>
      <c r="B25" s="12">
        <f ca="1" t="shared" si="0"/>
        <v>0.889256001704301</v>
      </c>
      <c r="C25" s="12">
        <f ca="1" t="shared" si="1"/>
        <v>1.24740621791495</v>
      </c>
      <c r="D25" s="12">
        <f ca="1" t="shared" si="2"/>
        <v>1.20698631186818</v>
      </c>
      <c r="E25" s="12">
        <f ca="1" t="shared" si="3"/>
        <v>0.909084428831064</v>
      </c>
    </row>
    <row r="26" spans="1:5">
      <c r="A26" s="12">
        <v>25</v>
      </c>
      <c r="B26" s="12">
        <f ca="1" t="shared" si="0"/>
        <v>1.01907069085995</v>
      </c>
      <c r="C26" s="12">
        <f ca="1" t="shared" si="1"/>
        <v>1.01544099504301</v>
      </c>
      <c r="D26" s="12">
        <f ca="1" t="shared" si="2"/>
        <v>0.915603343051748</v>
      </c>
      <c r="E26" s="12">
        <f ca="1" t="shared" si="3"/>
        <v>1.15742248438916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A1" sqref="A1:I24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>
      <c r="A2" s="4" t="s">
        <v>9</v>
      </c>
      <c r="B2" s="4">
        <v>1</v>
      </c>
      <c r="C2" s="5" t="s">
        <v>10</v>
      </c>
      <c r="D2" s="4"/>
      <c r="E2" s="5" t="s">
        <v>34</v>
      </c>
      <c r="F2" s="6">
        <v>1.59</v>
      </c>
      <c r="G2" s="4"/>
      <c r="H2" s="7"/>
      <c r="I2" s="5">
        <v>0</v>
      </c>
    </row>
    <row r="3" spans="1:9">
      <c r="A3" s="4" t="s">
        <v>13</v>
      </c>
      <c r="B3" s="4">
        <v>2</v>
      </c>
      <c r="C3" s="5" t="s">
        <v>14</v>
      </c>
      <c r="D3" s="4"/>
      <c r="E3" s="5" t="s">
        <v>34</v>
      </c>
      <c r="F3" s="6">
        <v>3.91</v>
      </c>
      <c r="G3" s="4"/>
      <c r="H3" s="7"/>
      <c r="I3" s="5">
        <v>0</v>
      </c>
    </row>
    <row r="4" spans="1:9">
      <c r="A4" s="4" t="s">
        <v>16</v>
      </c>
      <c r="B4" s="4">
        <v>3</v>
      </c>
      <c r="C4" s="5" t="s">
        <v>12</v>
      </c>
      <c r="D4" s="4"/>
      <c r="E4" s="5" t="s">
        <v>12</v>
      </c>
      <c r="F4" s="6">
        <v>15.32</v>
      </c>
      <c r="G4" s="4"/>
      <c r="H4" s="8"/>
      <c r="I4" s="5">
        <v>0</v>
      </c>
    </row>
    <row r="5" spans="1:9">
      <c r="A5" s="4" t="s">
        <v>16</v>
      </c>
      <c r="B5" s="4">
        <v>4</v>
      </c>
      <c r="C5" s="5" t="s">
        <v>34</v>
      </c>
      <c r="D5" s="4"/>
      <c r="E5" s="5" t="s">
        <v>34</v>
      </c>
      <c r="F5" s="6">
        <v>2.61</v>
      </c>
      <c r="G5" s="4"/>
      <c r="H5" s="8">
        <v>4</v>
      </c>
      <c r="I5" s="5">
        <v>1</v>
      </c>
    </row>
    <row r="6" spans="1:9">
      <c r="A6" s="4" t="s">
        <v>16</v>
      </c>
      <c r="B6" s="4">
        <v>5</v>
      </c>
      <c r="C6" s="5" t="s">
        <v>37</v>
      </c>
      <c r="D6" s="4"/>
      <c r="E6" s="5" t="s">
        <v>12</v>
      </c>
      <c r="F6" s="6">
        <v>18.02</v>
      </c>
      <c r="G6" s="4"/>
      <c r="H6" s="9" t="s">
        <v>46</v>
      </c>
      <c r="I6" s="5">
        <v>2</v>
      </c>
    </row>
    <row r="7" spans="1:9">
      <c r="A7" s="10" t="s">
        <v>47</v>
      </c>
      <c r="B7" s="4">
        <v>6</v>
      </c>
      <c r="C7" s="5" t="s">
        <v>34</v>
      </c>
      <c r="D7" s="4"/>
      <c r="E7" s="5" t="s">
        <v>34</v>
      </c>
      <c r="F7" s="6">
        <v>12.24</v>
      </c>
      <c r="G7" s="4"/>
      <c r="H7" s="9"/>
      <c r="I7" s="5">
        <v>0</v>
      </c>
    </row>
    <row r="8" spans="1:9">
      <c r="A8" s="4" t="s">
        <v>47</v>
      </c>
      <c r="B8" s="4">
        <v>7</v>
      </c>
      <c r="C8" s="5" t="s">
        <v>21</v>
      </c>
      <c r="D8" s="4"/>
      <c r="E8" s="5" t="s">
        <v>12</v>
      </c>
      <c r="F8" s="6">
        <v>17.39</v>
      </c>
      <c r="G8" s="4"/>
      <c r="H8" s="8">
        <v>6</v>
      </c>
      <c r="I8" s="5">
        <v>1</v>
      </c>
    </row>
    <row r="9" spans="1:9">
      <c r="A9" s="4" t="s">
        <v>17</v>
      </c>
      <c r="B9" s="4">
        <v>8</v>
      </c>
      <c r="C9" s="5" t="s">
        <v>32</v>
      </c>
      <c r="D9" s="4"/>
      <c r="E9" s="5" t="s">
        <v>12</v>
      </c>
      <c r="F9" s="6">
        <v>45.43</v>
      </c>
      <c r="G9" s="4"/>
      <c r="H9" s="9" t="s">
        <v>27</v>
      </c>
      <c r="I9" s="5">
        <v>7</v>
      </c>
    </row>
    <row r="10" spans="1:9">
      <c r="A10" s="4" t="s">
        <v>17</v>
      </c>
      <c r="B10" s="4">
        <v>9</v>
      </c>
      <c r="C10" s="5" t="s">
        <v>32</v>
      </c>
      <c r="D10" s="4"/>
      <c r="E10" s="5" t="s">
        <v>12</v>
      </c>
      <c r="F10" s="5">
        <v>40.12</v>
      </c>
      <c r="G10" s="4"/>
      <c r="H10" s="9" t="s">
        <v>29</v>
      </c>
      <c r="I10" s="5">
        <v>8</v>
      </c>
    </row>
    <row r="11" spans="1:9">
      <c r="A11" s="4" t="s">
        <v>17</v>
      </c>
      <c r="B11" s="4">
        <v>10</v>
      </c>
      <c r="C11" s="5" t="s">
        <v>32</v>
      </c>
      <c r="D11" s="4"/>
      <c r="E11" s="5" t="s">
        <v>14</v>
      </c>
      <c r="F11" s="5">
        <v>35.24</v>
      </c>
      <c r="G11" s="4"/>
      <c r="H11" s="9" t="s">
        <v>31</v>
      </c>
      <c r="I11" s="5">
        <v>9</v>
      </c>
    </row>
    <row r="12" spans="1:9">
      <c r="A12" s="4" t="s">
        <v>17</v>
      </c>
      <c r="B12" s="4">
        <v>11</v>
      </c>
      <c r="C12" s="5" t="s">
        <v>32</v>
      </c>
      <c r="D12" s="4"/>
      <c r="E12" s="5" t="s">
        <v>12</v>
      </c>
      <c r="F12" s="5">
        <v>17</v>
      </c>
      <c r="G12" s="4"/>
      <c r="H12" s="9" t="s">
        <v>36</v>
      </c>
      <c r="I12" s="5">
        <v>10</v>
      </c>
    </row>
    <row r="13" spans="1:9">
      <c r="A13" s="10" t="s">
        <v>20</v>
      </c>
      <c r="B13" s="4">
        <v>12</v>
      </c>
      <c r="C13" s="5" t="s">
        <v>32</v>
      </c>
      <c r="D13" s="4"/>
      <c r="E13" s="5" t="s">
        <v>14</v>
      </c>
      <c r="F13" s="5">
        <v>19.2</v>
      </c>
      <c r="G13" s="4">
        <v>13</v>
      </c>
      <c r="H13" s="9" t="s">
        <v>39</v>
      </c>
      <c r="I13" s="5">
        <v>11</v>
      </c>
    </row>
    <row r="14" spans="1:9">
      <c r="A14" s="10" t="s">
        <v>20</v>
      </c>
      <c r="B14" s="4">
        <v>13</v>
      </c>
      <c r="C14" s="5" t="s">
        <v>37</v>
      </c>
      <c r="D14" s="4"/>
      <c r="E14" s="5" t="s">
        <v>12</v>
      </c>
      <c r="F14" s="5">
        <v>18.1</v>
      </c>
      <c r="G14" s="4"/>
      <c r="H14" s="9" t="s">
        <v>39</v>
      </c>
      <c r="I14" s="5">
        <v>11</v>
      </c>
    </row>
    <row r="15" spans="1:9">
      <c r="A15" s="4" t="s">
        <v>17</v>
      </c>
      <c r="B15" s="4">
        <v>14</v>
      </c>
      <c r="C15" s="5" t="s">
        <v>37</v>
      </c>
      <c r="D15" s="4"/>
      <c r="E15" s="5" t="s">
        <v>12</v>
      </c>
      <c r="F15" s="5">
        <v>27.33</v>
      </c>
      <c r="G15" s="4"/>
      <c r="H15" s="9" t="s">
        <v>44</v>
      </c>
      <c r="I15" s="5">
        <v>13</v>
      </c>
    </row>
    <row r="16" spans="1:9">
      <c r="A16" s="4" t="s">
        <v>17</v>
      </c>
      <c r="B16" s="4">
        <v>15</v>
      </c>
      <c r="C16" s="5" t="s">
        <v>37</v>
      </c>
      <c r="D16" s="4"/>
      <c r="E16" s="5" t="s">
        <v>12</v>
      </c>
      <c r="F16" s="5">
        <v>18.8</v>
      </c>
      <c r="G16" s="4"/>
      <c r="H16" s="9" t="s">
        <v>48</v>
      </c>
      <c r="I16" s="5">
        <v>14</v>
      </c>
    </row>
    <row r="17" spans="1:9">
      <c r="A17" s="4" t="s">
        <v>17</v>
      </c>
      <c r="B17" s="4">
        <v>16</v>
      </c>
      <c r="C17" s="5" t="s">
        <v>42</v>
      </c>
      <c r="D17" s="4"/>
      <c r="E17" s="5" t="s">
        <v>14</v>
      </c>
      <c r="F17" s="5">
        <v>31.65</v>
      </c>
      <c r="G17" s="4"/>
      <c r="H17" s="9" t="s">
        <v>49</v>
      </c>
      <c r="I17" s="5">
        <v>15</v>
      </c>
    </row>
    <row r="18" spans="1:9">
      <c r="A18" s="4" t="s">
        <v>17</v>
      </c>
      <c r="B18" s="4">
        <v>17</v>
      </c>
      <c r="C18" s="5" t="s">
        <v>50</v>
      </c>
      <c r="D18" s="4"/>
      <c r="E18" s="5" t="s">
        <v>14</v>
      </c>
      <c r="F18" s="5">
        <v>39.06</v>
      </c>
      <c r="G18" s="4"/>
      <c r="H18" s="9" t="s">
        <v>51</v>
      </c>
      <c r="I18" s="5">
        <v>16</v>
      </c>
    </row>
    <row r="19" spans="1:9">
      <c r="A19" s="4" t="s">
        <v>17</v>
      </c>
      <c r="B19" s="4">
        <v>18</v>
      </c>
      <c r="C19" s="5" t="s">
        <v>37</v>
      </c>
      <c r="E19" s="5" t="s">
        <v>12</v>
      </c>
      <c r="F19" s="5">
        <v>20.38</v>
      </c>
      <c r="H19" s="9" t="s">
        <v>52</v>
      </c>
      <c r="I19" s="5">
        <v>17</v>
      </c>
    </row>
    <row r="20" spans="1:9">
      <c r="A20" s="4" t="s">
        <v>17</v>
      </c>
      <c r="B20" s="4">
        <v>19</v>
      </c>
      <c r="C20" s="5" t="s">
        <v>34</v>
      </c>
      <c r="E20" s="5" t="s">
        <v>34</v>
      </c>
      <c r="F20" s="5">
        <v>20.97</v>
      </c>
      <c r="H20" s="9" t="s">
        <v>53</v>
      </c>
      <c r="I20" s="5">
        <v>18</v>
      </c>
    </row>
    <row r="21" spans="1:9">
      <c r="A21" s="4" t="s">
        <v>17</v>
      </c>
      <c r="B21" s="4">
        <v>20</v>
      </c>
      <c r="C21" s="5" t="s">
        <v>37</v>
      </c>
      <c r="E21" s="5" t="s">
        <v>12</v>
      </c>
      <c r="F21" s="5">
        <v>13.74</v>
      </c>
      <c r="H21" s="9" t="s">
        <v>54</v>
      </c>
      <c r="I21" s="5">
        <v>19</v>
      </c>
    </row>
    <row r="22" spans="1:9">
      <c r="A22" s="4" t="s">
        <v>17</v>
      </c>
      <c r="B22" s="4">
        <v>21</v>
      </c>
      <c r="C22" s="5" t="s">
        <v>34</v>
      </c>
      <c r="E22" s="5" t="s">
        <v>34</v>
      </c>
      <c r="F22" s="5">
        <v>10.76</v>
      </c>
      <c r="H22" s="9" t="s">
        <v>51</v>
      </c>
      <c r="I22" s="5">
        <v>16</v>
      </c>
    </row>
    <row r="23" spans="1:9">
      <c r="A23" s="4" t="s">
        <v>17</v>
      </c>
      <c r="B23" s="4">
        <v>22</v>
      </c>
      <c r="C23" s="5" t="s">
        <v>34</v>
      </c>
      <c r="E23" s="5" t="s">
        <v>34</v>
      </c>
      <c r="F23" s="5">
        <v>2.61</v>
      </c>
      <c r="H23" s="11">
        <v>1</v>
      </c>
      <c r="I23" s="5">
        <v>1</v>
      </c>
    </row>
    <row r="24" spans="1:9">
      <c r="A24" s="4" t="s">
        <v>17</v>
      </c>
      <c r="B24" s="4">
        <v>23</v>
      </c>
      <c r="C24" s="5" t="s">
        <v>34</v>
      </c>
      <c r="E24" s="5" t="s">
        <v>34</v>
      </c>
      <c r="F24" s="5">
        <v>26.89</v>
      </c>
      <c r="H24" s="9" t="s">
        <v>55</v>
      </c>
      <c r="I24" s="5">
        <v>17</v>
      </c>
    </row>
  </sheetData>
  <protectedRanges>
    <protectedRange sqref="F2:F24" name="区域1_6_1_1_2_3"/>
  </protectedRange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>
    <arrUserId title="区域1_6_1_1_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auriel</dc:creator>
  <cp:lastModifiedBy>WPS_1527926183</cp:lastModifiedBy>
  <dcterms:created xsi:type="dcterms:W3CDTF">2023-05-12T11:15:00Z</dcterms:created>
  <dcterms:modified xsi:type="dcterms:W3CDTF">2026-03-15T10:35:26Z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8C25915B273145E8BD46DE16980191DC_12</vt:lpwstr>
  </property>
  <property fmtid="{D5CDD505-2E9C-101B-9397-08002B2CF9AE}" pid="4" name="CalculationRule">
    <vt:i4>0</vt:i4>
  </property>
</Properties>
</file>